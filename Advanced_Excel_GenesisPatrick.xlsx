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sis Patrick\Documents\GitHub\Data-Analysis\"/>
    </mc:Choice>
  </mc:AlternateContent>
  <xr:revisionPtr revIDLastSave="0" documentId="8_{AA2BBD59-280F-4950-8EB1-E3DC259BC964}" xr6:coauthVersionLast="47" xr6:coauthVersionMax="47" xr10:uidLastSave="{00000000-0000-0000-0000-000000000000}"/>
  <bookViews>
    <workbookView xWindow="-120" yWindow="-120" windowWidth="20730" windowHeight="11040" tabRatio="808" firstSheet="5" activeTab="8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 Assignment" sheetId="8" r:id="rId7"/>
    <sheet name="Lookup Functions Assgnment" sheetId="9" r:id="rId8"/>
    <sheet name="Date &amp; Time Assignment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8" l="1"/>
  <c r="C19" i="8"/>
  <c r="E25" i="9"/>
  <c r="E24" i="9"/>
  <c r="E23" i="9"/>
  <c r="E15" i="9"/>
  <c r="E20" i="9"/>
  <c r="E19" i="9"/>
  <c r="E18" i="9"/>
  <c r="E3" i="9"/>
  <c r="B2" i="10"/>
  <c r="A5" i="10"/>
  <c r="A2" i="10"/>
  <c r="E7" i="9" a="1"/>
  <c r="E7" i="9" s="1"/>
  <c r="C23" i="8"/>
  <c r="C11" i="8"/>
  <c r="C6" i="8"/>
  <c r="C5" i="8"/>
  <c r="C4" i="8"/>
  <c r="C3" i="8"/>
  <c r="C2" i="8"/>
  <c r="A29" i="7"/>
  <c r="A23" i="7"/>
  <c r="A26" i="7"/>
  <c r="A15" i="7"/>
  <c r="A11" i="7"/>
  <c r="A7" i="7"/>
  <c r="A3" i="7"/>
  <c r="F10" i="6"/>
  <c r="F9" i="6"/>
  <c r="F7" i="6"/>
  <c r="F3" i="6" a="1"/>
  <c r="F3" i="6" s="1"/>
  <c r="F2" i="6"/>
  <c r="E12" i="5"/>
  <c r="E11" i="5"/>
  <c r="E10" i="5"/>
  <c r="E9" i="5"/>
  <c r="E8" i="5"/>
  <c r="E7" i="5"/>
  <c r="E6" i="5"/>
  <c r="E5" i="5"/>
  <c r="E4" i="5"/>
  <c r="E3" i="5"/>
  <c r="E2" i="5"/>
  <c r="B5" i="4"/>
  <c r="D5" i="12"/>
  <c r="C5" i="12"/>
  <c r="B5" i="12"/>
  <c r="E3" i="12"/>
  <c r="E4" i="12"/>
  <c r="E5" i="12" s="1"/>
  <c r="E2" i="12"/>
  <c r="A3" i="11"/>
  <c r="B4" i="11"/>
  <c r="B3" i="11"/>
  <c r="A2" i="11"/>
  <c r="A1" i="11"/>
  <c r="B4" i="4"/>
  <c r="B9" i="1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<sst xmlns="http://schemas.openxmlformats.org/spreadsheetml/2006/main" count="168" uniqueCount="85">
  <si>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</si>
  <si>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</si>
  <si>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</si>
  <si>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</si>
  <si>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</si>
  <si>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</si>
  <si>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</si>
  <si>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</si>
  <si>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</si>
  <si>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</si>
  <si>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</si>
  <si>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</si>
  <si>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</si>
  <si>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</si>
  <si>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</si>
  <si>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</si>
  <si>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</si>
  <si>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</si>
  <si>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</si>
  <si>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</si>
  <si>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</si>
  <si>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</si>
  <si>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</si>
  <si>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</si>
  <si>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</si>
  <si>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</si>
  <si>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</si>
  <si>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</si>
  <si>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</si>
  <si>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</si>
  <si>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</si>
  <si>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</si>
  <si>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</si>
  <si>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</si>
  <si>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</si>
  <si>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</si>
  <si>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</si>
  <si>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</si>
  <si>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</si>
  <si>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</si>
  <si>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</si>
  <si>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</si>
  <si>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</si>
  <si>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</si>
  <si>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</si>
  <si>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</si>
  <si>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</si>
  <si>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</si>
  <si>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</si>
  <si>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</si>
  <si>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</si>
  <si>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</si>
  <si>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</si>
  <si>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</si>
  <si>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</si>
  <si>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</si>
  <si>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</si>
  <si>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</si>
  <si>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</si>
  <si>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</si>
  <si>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</si>
  <si>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</si>
  <si>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</si>
  <si>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</si>
  <si>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</si>
  <si>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</si>
  <si>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</si>
  <si>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</si>
  <si>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</si>
  <si>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</si>
  <si>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</si>
  <si>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</si>
  <si>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Adenomo</t>
  </si>
  <si>
    <t>Hot</t>
  </si>
  <si>
    <t>HLOOKUP</t>
  </si>
  <si>
    <t>INDEX</t>
  </si>
  <si>
    <t>MATCH</t>
  </si>
  <si>
    <t>IF</t>
  </si>
  <si>
    <t>To get the price of Sugar Cookie:</t>
  </si>
  <si>
    <t>To get the price of Chocolate Chip:</t>
  </si>
  <si>
    <t>To get the price of Oatmeal Raisin:</t>
  </si>
  <si>
    <t>A</t>
  </si>
  <si>
    <t>B</t>
  </si>
  <si>
    <t>C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</si>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</sst>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4" fillId="2" borderId="0" xfId="0" applyNumberFormat="1" applyFont="1" applyFill="1"/>
    <xf numFmtId="164" fontId="4" fillId="2" borderId="0" xfId="0" applyNumberFormat="1" applyFont="1" applyFill="1"/>
    <xf numFmtId="22" fontId="4" fillId="2" borderId="0" xfId="0" applyNumberFormat="1" applyFont="1" applyFill="1"/>
  </cellXfs>
  <cellStyles count="2">
    <cellStyle name="Hyperlink" xfId="1" builtinId="8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5A1C7-2B3D-4F14-BF50-ED0E27D02518}" name="Table1" displayName="Table1" ref="E10:H13" totalsRowShown="0" headerRowDxfId="0" dataDxfId="1">
  <autoFilter ref="E10:H13" xr:uid="{B585A1C7-2B3D-4F14-BF50-ED0E27D02518}"/>
  <tableColumns count="4">
    <tableColumn id="1" xr3:uid="{6EE1BD7D-9F4F-40E2-A54B-1071315A5320}" name="Column1" dataDxfId="5"/>
    <tableColumn id="2" xr3:uid="{9B862A67-6D6E-4D18-B785-4E138348E345}" name="A" dataDxfId="4"/>
    <tableColumn id="3" xr3:uid="{100D609C-BFAB-464F-81DD-97C6D5161903}" name="B" dataDxfId="3"/>
    <tableColumn id="4" xr3:uid="{8FA9A6CE-2A2F-4ED7-BC08-2731A64D0C80}" name="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C5" sqref="C5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A1" s="7"/>
      <c r="B1" s="8" t="s">
        <v>0</v>
      </c>
      <c r="C1" s="8" t="s">
        <v>1</v>
      </c>
      <c r="D1" s="8" t="s">
        <v>2</v>
      </c>
      <c r="E1" s="8" t="s">
        <v>3</v>
      </c>
      <c r="F1" s="7"/>
      <c r="G1" s="8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 t="shared" ref="E3:E4" si="0">B3+C3+D3</f>
        <v>9</v>
      </c>
    </row>
    <row r="4" spans="1:7" x14ac:dyDescent="0.25">
      <c r="A4" s="2" t="s">
        <v>7</v>
      </c>
      <c r="B4">
        <v>6</v>
      </c>
      <c r="C4">
        <v>5</v>
      </c>
      <c r="D4">
        <v>3</v>
      </c>
      <c r="E4">
        <f t="shared" si="0"/>
        <v>14</v>
      </c>
    </row>
    <row r="5" spans="1:7" x14ac:dyDescent="0.25">
      <c r="A5" s="2" t="s">
        <v>8</v>
      </c>
      <c r="B5" s="9">
        <f>B4*TaxRate</f>
        <v>0.60000000000000009</v>
      </c>
      <c r="C5" s="9">
        <f>C4*TaxRate</f>
        <v>0.5</v>
      </c>
      <c r="D5" s="9">
        <f>D4*TaxRate</f>
        <v>0.30000000000000004</v>
      </c>
      <c r="E5" s="9">
        <f>E4*TaxRate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A3" sqref="A3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E6" sqref="E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 s="9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A4" zoomScale="175" zoomScaleNormal="175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13</v>
      </c>
      <c r="B1" s="2" t="s">
        <v>14</v>
      </c>
    </row>
    <row r="2" spans="1:5" x14ac:dyDescent="0.2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2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25">
      <c r="A8" t="s">
        <v>24</v>
      </c>
      <c r="B8">
        <v>36</v>
      </c>
      <c r="E8">
        <f>COUNTA(A2:A8)</f>
        <v>7</v>
      </c>
    </row>
    <row r="9" spans="1:5" x14ac:dyDescent="0.25">
      <c r="E9">
        <f>COUNTBLANK(A2:A9)</f>
        <v>1</v>
      </c>
    </row>
    <row r="10" spans="1:5" x14ac:dyDescent="0.25">
      <c r="D10" t="s">
        <v>25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H18" sqref="H18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  <col min="6" max="6" width="9.140625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  <c r="F7">
        <f>AVERAGEIF(B:B,B2,C:C)</f>
        <v>51.714285714285715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  <c r="F9">
        <f>COUNTIF(C:C,B2)</f>
        <v>0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  <c r="F10">
        <f>COUNTIFS(B:B,A2)</f>
        <v>0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E31"/>
  <sheetViews>
    <sheetView topLeftCell="A28" zoomScale="190" zoomScaleNormal="190" workbookViewId="0">
      <selection activeCell="A30" sqref="A30"/>
    </sheetView>
  </sheetViews>
  <sheetFormatPr defaultRowHeight="15" x14ac:dyDescent="0.25"/>
  <cols>
    <col min="1" max="1" width="23.140625" customWidth="1"/>
  </cols>
  <sheetData>
    <row r="1" spans="1:5" x14ac:dyDescent="0.25">
      <c r="A1" s="2" t="s">
        <v>40</v>
      </c>
    </row>
    <row r="2" spans="1:5" x14ac:dyDescent="0.25">
      <c r="A2" t="s">
        <v>41</v>
      </c>
    </row>
    <row r="3" spans="1:5" x14ac:dyDescent="0.25">
      <c r="A3" t="str">
        <f>PROPER(A2)</f>
        <v>Kevin Cookie Company</v>
      </c>
    </row>
    <row r="5" spans="1:5" x14ac:dyDescent="0.25">
      <c r="A5" s="2" t="s">
        <v>42</v>
      </c>
    </row>
    <row r="6" spans="1:5" x14ac:dyDescent="0.25">
      <c r="A6" t="s">
        <v>43</v>
      </c>
    </row>
    <row r="7" spans="1:5" x14ac:dyDescent="0.25">
      <c r="A7" t="str">
        <f>TRIM(A6)</f>
        <v>Kevin Cookie Company</v>
      </c>
    </row>
    <row r="9" spans="1:5" x14ac:dyDescent="0.25">
      <c r="A9" s="2" t="s">
        <v>44</v>
      </c>
    </row>
    <row r="10" spans="1:5" x14ac:dyDescent="0.25">
      <c r="A10" t="s">
        <v>45</v>
      </c>
      <c r="B10" t="s">
        <v>46</v>
      </c>
      <c r="C10" t="s">
        <v>47</v>
      </c>
    </row>
    <row r="11" spans="1:5" x14ac:dyDescent="0.25">
      <c r="A11" t="str">
        <f>_xlfn.TEXTJOIN(" ",TRUE,A10:C10)</f>
        <v>Kevin Cookie Company</v>
      </c>
    </row>
    <row r="13" spans="1:5" x14ac:dyDescent="0.25">
      <c r="A13" s="2" t="s">
        <v>48</v>
      </c>
    </row>
    <row r="14" spans="1:5" x14ac:dyDescent="0.25">
      <c r="A14" t="s">
        <v>45</v>
      </c>
      <c r="B14" t="s">
        <v>46</v>
      </c>
      <c r="C14" t="s">
        <v>47</v>
      </c>
      <c r="D14" t="s">
        <v>72</v>
      </c>
      <c r="E14" t="s">
        <v>73</v>
      </c>
    </row>
    <row r="15" spans="1:5" x14ac:dyDescent="0.25">
      <c r="A15" t="str">
        <f>_xlfn.TEXTJOIN(" ",TRUE,A14:E14)</f>
        <v>Kevin Cookie Company Adenomo Hot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FIND("y",A28)</f>
        <v>22</v>
      </c>
    </row>
    <row r="31" spans="1:3" x14ac:dyDescent="0.25">
      <c r="A31" s="2" t="s">
        <v>56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sheetPr>
    <tabColor rgb="FFFFFF00"/>
  </sheetPr>
  <dimension ref="A1:H24"/>
  <sheetViews>
    <sheetView topLeftCell="A4" zoomScale="145" zoomScaleNormal="145" workbookViewId="0">
      <selection activeCell="B17" sqref="B17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7" x14ac:dyDescent="0.25">
      <c r="A1" s="2" t="s">
        <v>57</v>
      </c>
    </row>
    <row r="2" spans="1:7" x14ac:dyDescent="0.25">
      <c r="A2" t="s">
        <v>53</v>
      </c>
      <c r="B2" t="s">
        <v>58</v>
      </c>
      <c r="C2" t="b">
        <f>A2=B2</f>
        <v>0</v>
      </c>
    </row>
    <row r="3" spans="1:7" x14ac:dyDescent="0.25">
      <c r="A3">
        <v>10</v>
      </c>
      <c r="B3">
        <v>5</v>
      </c>
      <c r="C3" t="b">
        <f>A3=B3</f>
        <v>0</v>
      </c>
    </row>
    <row r="4" spans="1:7" x14ac:dyDescent="0.25">
      <c r="B4">
        <v>11</v>
      </c>
      <c r="C4" t="b">
        <f>A3&gt;B3</f>
        <v>1</v>
      </c>
    </row>
    <row r="5" spans="1:7" x14ac:dyDescent="0.25">
      <c r="C5" t="b">
        <f>B3&lt;A3</f>
        <v>1</v>
      </c>
    </row>
    <row r="6" spans="1:7" x14ac:dyDescent="0.25">
      <c r="C6" t="b">
        <f>A3&gt;B4</f>
        <v>0</v>
      </c>
    </row>
    <row r="8" spans="1:7" x14ac:dyDescent="0.25">
      <c r="A8" s="2"/>
    </row>
    <row r="9" spans="1:7" x14ac:dyDescent="0.25">
      <c r="A9" s="2" t="s">
        <v>13</v>
      </c>
      <c r="B9" s="2" t="s">
        <v>14</v>
      </c>
      <c r="C9" s="8" t="s">
        <v>77</v>
      </c>
      <c r="D9" s="8"/>
      <c r="E9" s="8"/>
      <c r="F9" s="8"/>
      <c r="G9" s="8"/>
    </row>
    <row r="10" spans="1:7" x14ac:dyDescent="0.25">
      <c r="A10" t="s">
        <v>0</v>
      </c>
      <c r="B10">
        <v>97</v>
      </c>
      <c r="C10" s="8" t="s">
        <v>59</v>
      </c>
      <c r="D10" s="8"/>
      <c r="E10" s="8"/>
      <c r="F10" s="8"/>
      <c r="G10" s="8"/>
    </row>
    <row r="11" spans="1:7" x14ac:dyDescent="0.25">
      <c r="A11" t="s">
        <v>1</v>
      </c>
      <c r="B11">
        <v>70</v>
      </c>
      <c r="C11" s="8" t="str">
        <f>IF(B10&gt;B11,"Chocolate Chip","Otmeal Raisin")</f>
        <v>Chocolate Chip</v>
      </c>
      <c r="D11" s="8"/>
      <c r="E11" s="8"/>
      <c r="F11" s="8"/>
      <c r="G11" s="8"/>
    </row>
    <row r="12" spans="1:7" x14ac:dyDescent="0.25">
      <c r="A12" t="s">
        <v>2</v>
      </c>
      <c r="B12">
        <v>150</v>
      </c>
      <c r="C12" s="9"/>
      <c r="D12" s="9"/>
      <c r="E12" s="9"/>
      <c r="F12" s="9"/>
      <c r="G12" s="9"/>
    </row>
    <row r="13" spans="1:7" x14ac:dyDescent="0.25">
      <c r="C13" s="8" t="s">
        <v>60</v>
      </c>
      <c r="D13" s="8"/>
      <c r="E13" s="8"/>
      <c r="F13" s="8"/>
      <c r="G13" s="8"/>
    </row>
    <row r="14" spans="1:7" x14ac:dyDescent="0.25">
      <c r="C14" s="8" t="s">
        <v>61</v>
      </c>
      <c r="D14" s="8"/>
      <c r="E14" s="8"/>
      <c r="F14" s="8"/>
      <c r="G14" s="8"/>
    </row>
    <row r="15" spans="1:7" x14ac:dyDescent="0.25">
      <c r="C15" s="8" t="str">
        <f>IF(AND(B10&gt;B12,B10&gt;B11),"YES","NO")</f>
        <v>NO</v>
      </c>
      <c r="D15" s="8"/>
      <c r="E15" s="8"/>
      <c r="F15" s="8"/>
      <c r="G15" s="8"/>
    </row>
    <row r="16" spans="1:7" x14ac:dyDescent="0.25">
      <c r="C16" s="9"/>
      <c r="D16" s="9"/>
      <c r="E16" s="9"/>
      <c r="F16" s="9"/>
      <c r="G16" s="9"/>
    </row>
    <row r="17" spans="1:8" x14ac:dyDescent="0.25">
      <c r="C17" s="8" t="s">
        <v>62</v>
      </c>
      <c r="D17" s="8"/>
      <c r="E17" s="8"/>
      <c r="F17" s="8"/>
      <c r="G17" s="8"/>
      <c r="H17" s="8"/>
    </row>
    <row r="18" spans="1:8" x14ac:dyDescent="0.25">
      <c r="C18" s="8" t="s">
        <v>63</v>
      </c>
      <c r="D18" s="8"/>
      <c r="E18" s="8"/>
      <c r="F18" s="8"/>
      <c r="G18" s="8"/>
      <c r="H18" s="8"/>
    </row>
    <row r="19" spans="1:8" x14ac:dyDescent="0.25">
      <c r="C19" s="8" t="str">
        <f>IF(OR(B10&gt;B12,B10&gt;B11),"YES","NO")</f>
        <v>YES</v>
      </c>
      <c r="D19" s="8"/>
      <c r="E19" s="8"/>
      <c r="F19" s="8"/>
      <c r="G19" s="8"/>
      <c r="H19" s="8"/>
    </row>
    <row r="20" spans="1:8" x14ac:dyDescent="0.25">
      <c r="C20" s="9"/>
      <c r="D20" s="9"/>
      <c r="E20" s="9"/>
      <c r="F20" s="9"/>
      <c r="G20" s="9"/>
    </row>
    <row r="21" spans="1:8" x14ac:dyDescent="0.25">
      <c r="A21" s="2" t="s">
        <v>64</v>
      </c>
      <c r="B21" s="2" t="s">
        <v>65</v>
      </c>
      <c r="C21" s="8" t="s">
        <v>66</v>
      </c>
      <c r="D21" s="8"/>
      <c r="E21" s="8"/>
      <c r="F21" s="8"/>
      <c r="G21" s="8"/>
      <c r="H21" s="8"/>
    </row>
    <row r="22" spans="1:8" x14ac:dyDescent="0.25">
      <c r="A22" t="s">
        <v>0</v>
      </c>
      <c r="B22">
        <v>10</v>
      </c>
      <c r="C22" s="8" t="s">
        <v>67</v>
      </c>
      <c r="D22" s="8"/>
      <c r="E22" s="8" t="s">
        <v>0</v>
      </c>
      <c r="F22" s="8"/>
      <c r="G22" s="8"/>
      <c r="H22" s="8"/>
    </row>
    <row r="23" spans="1:8" x14ac:dyDescent="0.25">
      <c r="A23" t="s">
        <v>1</v>
      </c>
      <c r="B23">
        <v>8</v>
      </c>
      <c r="C23" s="8">
        <f>IF(E22=A22,B22,IF(E22=A23,B23,IF(E22=A24,B24,"UNKNOWN")))</f>
        <v>10</v>
      </c>
      <c r="D23" s="8"/>
      <c r="E23" s="8"/>
      <c r="F23" s="8"/>
      <c r="G23" s="8"/>
      <c r="H23" s="8"/>
    </row>
    <row r="24" spans="1:8" x14ac:dyDescent="0.25">
      <c r="A24" t="s">
        <v>2</v>
      </c>
      <c r="B24">
        <v>5</v>
      </c>
      <c r="C24" s="9"/>
      <c r="D24" s="9"/>
      <c r="E24" s="9"/>
      <c r="F24" s="9"/>
      <c r="G24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sheetPr>
    <tabColor rgb="FFFFFF00"/>
  </sheetPr>
  <dimension ref="A1:H25"/>
  <sheetViews>
    <sheetView zoomScale="145" zoomScaleNormal="145" workbookViewId="0">
      <selection activeCell="I11" sqref="I11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customWidth="1"/>
    <col min="6" max="6" width="17.42578125" customWidth="1"/>
    <col min="7" max="7" width="13.42578125" customWidth="1"/>
    <col min="8" max="8" width="12.140625" customWidth="1"/>
  </cols>
  <sheetData>
    <row r="1" spans="1:8" x14ac:dyDescent="0.25">
      <c r="A1" s="2" t="s">
        <v>64</v>
      </c>
      <c r="B1" s="2" t="s">
        <v>65</v>
      </c>
      <c r="C1" s="2" t="s">
        <v>6</v>
      </c>
      <c r="D1" s="2"/>
      <c r="E1" s="2" t="s">
        <v>68</v>
      </c>
    </row>
    <row r="2" spans="1:8" x14ac:dyDescent="0.25">
      <c r="A2" t="s">
        <v>0</v>
      </c>
      <c r="B2">
        <v>10</v>
      </c>
      <c r="C2">
        <v>4</v>
      </c>
      <c r="E2" s="8" t="s">
        <v>67</v>
      </c>
      <c r="F2" s="8" t="s">
        <v>1</v>
      </c>
    </row>
    <row r="3" spans="1:8" x14ac:dyDescent="0.25">
      <c r="A3" t="s">
        <v>1</v>
      </c>
      <c r="B3">
        <v>8</v>
      </c>
      <c r="C3">
        <v>3</v>
      </c>
      <c r="E3" s="8">
        <f>VLOOKUP(F2,A1:C4,2)</f>
        <v>8</v>
      </c>
      <c r="F3" s="8"/>
    </row>
    <row r="4" spans="1:8" x14ac:dyDescent="0.25">
      <c r="A4" t="s">
        <v>2</v>
      </c>
      <c r="B4">
        <v>5</v>
      </c>
      <c r="C4">
        <v>2</v>
      </c>
    </row>
    <row r="5" spans="1:8" x14ac:dyDescent="0.25">
      <c r="E5" s="2" t="s">
        <v>69</v>
      </c>
    </row>
    <row r="6" spans="1:8" x14ac:dyDescent="0.25">
      <c r="E6" s="8" t="s">
        <v>67</v>
      </c>
      <c r="F6" s="8" t="s">
        <v>0</v>
      </c>
    </row>
    <row r="7" spans="1:8" x14ac:dyDescent="0.25">
      <c r="E7" s="8" cm="1">
        <f t="array" ref="E7:F7">_xlfn.XLOOKUP(F6,A:A,B:C)</f>
        <v>10</v>
      </c>
      <c r="F7" s="8">
        <v>4</v>
      </c>
    </row>
    <row r="9" spans="1:8" x14ac:dyDescent="0.25">
      <c r="E9" s="2" t="s">
        <v>74</v>
      </c>
    </row>
    <row r="10" spans="1:8" x14ac:dyDescent="0.25">
      <c r="E10" s="11" t="s">
        <v>84</v>
      </c>
      <c r="F10" s="11" t="s">
        <v>81</v>
      </c>
      <c r="G10" s="11" t="s">
        <v>82</v>
      </c>
      <c r="H10" s="11" t="s">
        <v>83</v>
      </c>
    </row>
    <row r="11" spans="1:8" ht="30" x14ac:dyDescent="0.25">
      <c r="E11" s="12" t="s">
        <v>64</v>
      </c>
      <c r="F11" s="12" t="s">
        <v>0</v>
      </c>
      <c r="G11" s="12" t="s">
        <v>1</v>
      </c>
      <c r="H11" s="12" t="s">
        <v>2</v>
      </c>
    </row>
    <row r="12" spans="1:8" x14ac:dyDescent="0.25">
      <c r="E12" s="12" t="s">
        <v>65</v>
      </c>
      <c r="F12" s="12">
        <v>10</v>
      </c>
      <c r="G12" s="12">
        <v>8</v>
      </c>
      <c r="H12" s="12">
        <v>5</v>
      </c>
    </row>
    <row r="13" spans="1:8" x14ac:dyDescent="0.25">
      <c r="E13" s="12" t="s">
        <v>6</v>
      </c>
      <c r="F13" s="12">
        <v>4</v>
      </c>
      <c r="G13" s="12">
        <v>3</v>
      </c>
      <c r="H13" s="12">
        <v>2</v>
      </c>
    </row>
    <row r="15" spans="1:8" x14ac:dyDescent="0.25">
      <c r="E15" s="8">
        <f>HLOOKUP(H11,E10:H13,3,H12)</f>
        <v>5</v>
      </c>
    </row>
    <row r="17" spans="5:7" x14ac:dyDescent="0.25">
      <c r="E17" s="2" t="s">
        <v>75</v>
      </c>
    </row>
    <row r="18" spans="5:7" x14ac:dyDescent="0.25">
      <c r="E18" s="8">
        <f>INDEX(B2:B4,3)</f>
        <v>5</v>
      </c>
      <c r="F18" s="8" t="s">
        <v>78</v>
      </c>
      <c r="G18" s="8"/>
    </row>
    <row r="19" spans="5:7" x14ac:dyDescent="0.25">
      <c r="E19" s="8">
        <f>INDEX(B2:B4,2)</f>
        <v>8</v>
      </c>
      <c r="F19" s="8" t="s">
        <v>79</v>
      </c>
      <c r="G19" s="8"/>
    </row>
    <row r="20" spans="5:7" x14ac:dyDescent="0.25">
      <c r="E20" s="8">
        <f>INDEX(B2:B4,1)</f>
        <v>10</v>
      </c>
      <c r="F20" s="8" t="s">
        <v>80</v>
      </c>
      <c r="G20" s="8"/>
    </row>
    <row r="22" spans="5:7" x14ac:dyDescent="0.25">
      <c r="E22" s="2" t="s">
        <v>76</v>
      </c>
    </row>
    <row r="23" spans="5:7" x14ac:dyDescent="0.25">
      <c r="E23">
        <f>MATCH("Sugar Cookie", A2:A4, 0)</f>
        <v>3</v>
      </c>
    </row>
    <row r="24" spans="5:7" x14ac:dyDescent="0.25">
      <c r="E24">
        <f>MATCH("Oatmeal Raisin",A2:A4, 0)</f>
        <v>2</v>
      </c>
    </row>
    <row r="25" spans="5:7" x14ac:dyDescent="0.25">
      <c r="E25">
        <f>MATCH(A2,A2:A4,0)</f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sheetPr>
    <tabColor rgb="FFFFFF00"/>
  </sheetPr>
  <dimension ref="A1:B5"/>
  <sheetViews>
    <sheetView tabSelected="1" zoomScale="250" zoomScaleNormal="250" workbookViewId="0">
      <selection activeCell="B7" sqref="B7"/>
    </sheetView>
  </sheetViews>
  <sheetFormatPr defaultRowHeight="15" x14ac:dyDescent="0.25"/>
  <cols>
    <col min="1" max="1" width="15.42578125" bestFit="1" customWidth="1"/>
    <col min="2" max="2" width="24.7109375" bestFit="1" customWidth="1"/>
  </cols>
  <sheetData>
    <row r="1" spans="1:2" x14ac:dyDescent="0.25">
      <c r="A1" s="8" t="s">
        <v>70</v>
      </c>
      <c r="B1" s="7"/>
    </row>
    <row r="2" spans="1:2" x14ac:dyDescent="0.25">
      <c r="A2" s="13">
        <f ca="1">TODAY()</f>
        <v>46086</v>
      </c>
      <c r="B2" s="14">
        <f ca="1">TODAY()</f>
        <v>46086</v>
      </c>
    </row>
    <row r="4" spans="1:2" x14ac:dyDescent="0.25">
      <c r="A4" s="8" t="s">
        <v>71</v>
      </c>
    </row>
    <row r="5" spans="1:2" x14ac:dyDescent="0.25">
      <c r="A5" s="15">
        <f ca="1">NOW()</f>
        <v>46086.579099884257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showFormulas="1" zoomScale="325" zoomScaleNormal="325" workbookViewId="0">
      <selection activeCell="A3" sqref="A3"/>
    </sheetView>
  </sheetViews>
  <sheetFormatPr defaultRowHeight="15" x14ac:dyDescent="0.25"/>
  <sheetData>
    <row r="1" spans="1:2" x14ac:dyDescent="0.25">
      <c r="A1" s="10">
        <f>5+4</f>
        <v>9</v>
      </c>
      <c r="B1">
        <v>1</v>
      </c>
    </row>
    <row r="2" spans="1:2" x14ac:dyDescent="0.25">
      <c r="A2" s="10">
        <f>8-2</f>
        <v>6</v>
      </c>
      <c r="B2">
        <v>3</v>
      </c>
    </row>
    <row r="3" spans="1:2" x14ac:dyDescent="0.25">
      <c r="A3" s="10">
        <f>A2+B2</f>
        <v>9</v>
      </c>
      <c r="B3" s="10">
        <f>4+2</f>
        <v>6</v>
      </c>
    </row>
    <row r="4" spans="1:2" x14ac:dyDescent="0.25">
      <c r="A4">
        <v>3</v>
      </c>
      <c r="B4" s="10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 Assignment</vt:lpstr>
      <vt:lpstr>Lookup Functions Assgnment</vt:lpstr>
      <vt:lpstr>Date &amp; Time Assignment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Genesis Patrick</cp:lastModifiedBy>
  <cp:revision/>
  <dcterms:created xsi:type="dcterms:W3CDTF">2022-05-10T22:30:35Z</dcterms:created>
  <dcterms:modified xsi:type="dcterms:W3CDTF">2026-03-05T12:57:45Z</dcterms:modified>
  <cp:category/>
  <cp:contentStatus/>
</cp:coreProperties>
</file>